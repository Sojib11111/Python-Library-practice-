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BAAA6720-0C5F-401E-9720-27C143F1B0D3}" xr6:coauthVersionLast="47" xr6:coauthVersionMax="47" xr10:uidLastSave="{00000000-0000-0000-0000-000000000000}"/>
  <bookViews>
    <workbookView xWindow="-108" yWindow="-108" windowWidth="23256" windowHeight="12456" xr2:uid="{AF6E75A5-3BBD-4A29-A520-BE7A49A2FD9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H8" i="1"/>
  <c r="I3" i="1"/>
  <c r="J7" i="1"/>
  <c r="J5" i="1" a="1"/>
  <c r="J5" i="1"/>
  <c r="I3" i="2"/>
  <c r="H10" i="2" a="1"/>
  <c r="H10" i="2" s="1"/>
  <c r="I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<sst xmlns="http://schemas.openxmlformats.org/spreadsheetml/2006/main" count="119" uniqueCount="37">
  <si>
    <t>Product ID</t>
  </si>
  <si>
    <t>Product Name</t>
  </si>
  <si>
    <t>HSN Code</t>
  </si>
  <si>
    <t>Seller Name</t>
  </si>
  <si>
    <t>Qty Sold</t>
  </si>
  <si>
    <t>PRODUCT ID</t>
  </si>
  <si>
    <t>HardDisk</t>
  </si>
  <si>
    <t>AP0101</t>
  </si>
  <si>
    <t>Ram Traders</t>
  </si>
  <si>
    <t>Microphone</t>
  </si>
  <si>
    <t>AP0102</t>
  </si>
  <si>
    <t xml:space="preserve">Rajesh 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</si>
  <si>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</si>
  <si>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</si>
  <si>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</si>
  <si>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</si>
  <si>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</si>
  <si>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</si>
  <si>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</si>
  <si>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</si>
  <si>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</si>
  <si>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AP0107</t>
  </si>
  <si>
    <t>Printer</t>
  </si>
  <si>
    <t>AP0106</t>
  </si>
  <si>
    <t>Aman</t>
  </si>
  <si>
    <t>Scanner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</si>
  <si>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</si>
  <si>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</si>
  <si>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</si>
  <si>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</si>
  <si>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</si>
  <si>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</si>
  <si>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</si>
  <si>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</si>
  <si>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</si>
  <si>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</si>
  <si>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t>HS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</si>
</sst>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AEBF-77F9-45B2-AB36-5A1E4A22782E}">
  <dimension ref="B2:N12"/>
  <sheetViews>
    <sheetView tabSelected="1" zoomScale="115" zoomScaleNormal="115" workbookViewId="0">
      <selection activeCell="I2" sqref="I2"/>
    </sheetView>
  </sheetViews>
  <sheetFormatPr defaultRowHeight="18" x14ac:dyDescent="0.35"/>
  <cols>
    <col min="1" max="1" width="6" customWidth="1"/>
    <col min="2" max="2" width="9.9140625" customWidth="1"/>
    <col min="3" max="3" width="13.58203125" customWidth="1"/>
    <col min="4" max="4" width="9.33203125" customWidth="1"/>
    <col min="5" max="5" width="11.5" customWidth="1"/>
    <col min="6" max="6" width="8.9140625" customWidth="1"/>
    <col min="7" max="7" width="5.33203125" customWidth="1"/>
    <col min="8" max="8" width="13.5" customWidth="1"/>
    <col min="9" max="9" width="12" customWidth="1"/>
    <col min="10" max="10" width="29.9140625" bestFit="1" customWidth="1"/>
  </cols>
  <sheetData>
    <row r="2" spans="2:14" ht="36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H2" s="4" t="s">
        <v>5</v>
      </c>
      <c r="I2" s="5" t="s">
        <v>1</v>
      </c>
    </row>
    <row r="3" spans="2:14" ht="24.75" customHeight="1" x14ac:dyDescent="0.35">
      <c r="B3" s="1">
        <v>101</v>
      </c>
      <c r="C3" s="2" t="s">
        <v>6</v>
      </c>
      <c r="D3" s="2" t="s">
        <v>7</v>
      </c>
      <c r="E3" s="2" t="s">
        <v>8</v>
      </c>
      <c r="F3" s="2">
        <v>23</v>
      </c>
      <c r="H3" s="2">
        <v>102</v>
      </c>
      <c r="I3" s="6" t="str">
        <f>INDEX(B2:F12,MATCH(H3,B2:B12,0),MATCH(I2,B2:F2,0))</f>
        <v>Microphone</v>
      </c>
    </row>
    <row r="4" spans="2:14" x14ac:dyDescent="0.35">
      <c r="B4" s="1">
        <v>102</v>
      </c>
      <c r="C4" s="2" t="s">
        <v>9</v>
      </c>
      <c r="D4" s="2" t="s">
        <v>10</v>
      </c>
      <c r="E4" s="2" t="s">
        <v>11</v>
      </c>
      <c r="F4" s="2">
        <v>20</v>
      </c>
    </row>
    <row r="5" spans="2:14" x14ac:dyDescent="0.35">
      <c r="B5" s="1">
        <v>103</v>
      </c>
      <c r="C5" s="2" t="s">
        <v>12</v>
      </c>
      <c r="D5" s="2" t="s">
        <v>13</v>
      </c>
      <c r="E5" s="2" t="s">
        <v>14</v>
      </c>
      <c r="F5" s="2">
        <v>30</v>
      </c>
      <c r="J5" cm="1">
        <f t="array" ref="J5:N5">_xlfn.XLOOKUP(H3,B2:B12,B2:F12,0)</f>
        <v>102</v>
      </c>
      <c r="K5" t="str">
        <v>Microphone</v>
      </c>
      <c r="L5" t="str">
        <v>AP0102</v>
      </c>
      <c r="M5" t="str">
        <v xml:space="preserve">Rajesh </v>
      </c>
      <c r="N5">
        <v>20</v>
      </c>
    </row>
    <row r="6" spans="2:14" x14ac:dyDescent="0.35">
      <c r="B6" s="1">
        <v>104</v>
      </c>
      <c r="C6" s="2" t="s">
        <v>15</v>
      </c>
      <c r="D6" s="2" t="s">
        <v>16</v>
      </c>
      <c r="E6" s="2" t="s">
        <v>17</v>
      </c>
      <c r="F6" s="2">
        <v>40</v>
      </c>
    </row>
    <row r="7" spans="2:14" x14ac:dyDescent="0.35">
      <c r="B7" s="1">
        <v>105</v>
      </c>
      <c r="C7" s="2" t="s">
        <v>18</v>
      </c>
      <c r="D7" s="2" t="s">
        <v>19</v>
      </c>
      <c r="E7" s="2" t="s">
        <v>20</v>
      </c>
      <c r="F7" s="2">
        <v>34</v>
      </c>
      <c r="H7" s="2" t="s">
        <v>21</v>
      </c>
      <c r="J7" t="str">
        <f>VLOOKUP(H3,B2:F12,2,1)</f>
        <v>Microphone</v>
      </c>
    </row>
    <row r="8" spans="2:14" x14ac:dyDescent="0.35">
      <c r="B8" s="1">
        <v>106</v>
      </c>
      <c r="C8" s="2" t="s">
        <v>22</v>
      </c>
      <c r="D8" s="2" t="s">
        <v>23</v>
      </c>
      <c r="E8" s="2" t="s">
        <v>24</v>
      </c>
      <c r="F8" s="2">
        <v>54</v>
      </c>
      <c r="H8">
        <f>MATCH(H7,D2:D12,1)</f>
        <v>7</v>
      </c>
    </row>
    <row r="9" spans="2:14" x14ac:dyDescent="0.35">
      <c r="B9" s="1">
        <v>107</v>
      </c>
      <c r="C9" s="2" t="s">
        <v>25</v>
      </c>
      <c r="D9" s="2"/>
      <c r="E9" s="2" t="s">
        <v>26</v>
      </c>
      <c r="F9" s="2">
        <v>30</v>
      </c>
    </row>
    <row r="10" spans="2:14" x14ac:dyDescent="0.35">
      <c r="B10" s="1">
        <v>108</v>
      </c>
      <c r="C10" s="2" t="s">
        <v>27</v>
      </c>
      <c r="D10" s="2" t="s">
        <v>28</v>
      </c>
      <c r="E10" s="2" t="s">
        <v>29</v>
      </c>
      <c r="F10" s="2">
        <v>10</v>
      </c>
      <c r="H10" t="str">
        <f>IF(B7=B3,"A","B")</f>
        <v>B</v>
      </c>
    </row>
    <row r="11" spans="2:14" x14ac:dyDescent="0.35">
      <c r="B11" s="1">
        <v>109</v>
      </c>
      <c r="C11" s="2" t="s">
        <v>30</v>
      </c>
      <c r="D11" s="2" t="s">
        <v>31</v>
      </c>
      <c r="E11" s="2" t="s">
        <v>32</v>
      </c>
      <c r="F11" s="2">
        <v>20</v>
      </c>
    </row>
    <row r="12" spans="2:14" x14ac:dyDescent="0.35">
      <c r="B12" s="1">
        <v>110</v>
      </c>
      <c r="C12" s="2" t="s">
        <v>33</v>
      </c>
      <c r="D12" s="2" t="s">
        <v>34</v>
      </c>
      <c r="E12" s="2" t="s">
        <v>35</v>
      </c>
      <c r="F12" s="2">
        <v>25</v>
      </c>
    </row>
  </sheetData>
  <phoneticPr fontId="2" type="noConversion"/>
  <dataValidations count="1">
    <dataValidation type="list" allowBlank="1" showInputMessage="1" showErrorMessage="1" sqref="I2" xr:uid="{08AE29BB-5DFA-447C-8FA4-11DB53962246}">
      <formula1>$B$2:$F$2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1C65-C1CF-44E7-B88A-1AE29D640E2D}">
  <dimension ref="B2:L13"/>
  <sheetViews>
    <sheetView zoomScale="115" zoomScaleNormal="115" workbookViewId="0">
      <selection activeCell="I16" sqref="I16"/>
    </sheetView>
  </sheetViews>
  <sheetFormatPr defaultRowHeight="18" x14ac:dyDescent="0.35"/>
  <cols>
    <col min="1" max="1" width="3" customWidth="1"/>
    <col min="2" max="2" width="9.9140625" customWidth="1"/>
    <col min="3" max="3" width="12.83203125" customWidth="1"/>
    <col min="4" max="4" width="8.1640625" customWidth="1"/>
    <col min="5" max="5" width="11.5" customWidth="1"/>
    <col min="6" max="6" width="8.9140625" customWidth="1"/>
    <col min="7" max="7" width="3.58203125" customWidth="1"/>
    <col min="8" max="8" width="9.83203125" customWidth="1"/>
    <col min="9" max="9" width="13.58203125" customWidth="1"/>
    <col min="10" max="10" width="9.5" customWidth="1"/>
    <col min="11" max="11" width="12" customWidth="1"/>
    <col min="12" max="12" width="10.08203125" customWidth="1"/>
  </cols>
  <sheetData>
    <row r="2" spans="2:12" x14ac:dyDescent="0.35">
      <c r="B2" s="3" t="s">
        <v>0</v>
      </c>
      <c r="C2" s="4" t="s">
        <v>1</v>
      </c>
      <c r="D2" s="4" t="s">
        <v>36</v>
      </c>
      <c r="E2" s="4" t="s">
        <v>3</v>
      </c>
      <c r="F2" s="4" t="s">
        <v>4</v>
      </c>
      <c r="H2" s="3" t="s">
        <v>0</v>
      </c>
      <c r="I2" s="4" t="s">
        <v>4</v>
      </c>
    </row>
    <row r="3" spans="2:12" x14ac:dyDescent="0.35">
      <c r="B3" s="1">
        <v>101</v>
      </c>
      <c r="C3" s="2" t="s">
        <v>6</v>
      </c>
      <c r="D3" s="2" t="s">
        <v>7</v>
      </c>
      <c r="E3" s="2" t="s">
        <v>8</v>
      </c>
      <c r="F3" s="2">
        <v>23</v>
      </c>
      <c r="H3" s="2">
        <v>102</v>
      </c>
      <c r="I3" s="2">
        <f>INDEX(B2:F12,MATCH(H3,B2:B12,0),MATCH(I2,B2:F2,0))</f>
        <v>20</v>
      </c>
    </row>
    <row r="4" spans="2:12" x14ac:dyDescent="0.35">
      <c r="B4" s="1">
        <v>102</v>
      </c>
      <c r="C4" s="2" t="s">
        <v>9</v>
      </c>
      <c r="D4" s="2" t="s">
        <v>10</v>
      </c>
      <c r="E4" s="2" t="s">
        <v>11</v>
      </c>
      <c r="F4" s="2">
        <v>20</v>
      </c>
    </row>
    <row r="5" spans="2:12" x14ac:dyDescent="0.35">
      <c r="B5" s="1">
        <v>103</v>
      </c>
      <c r="C5" s="2" t="s">
        <v>12</v>
      </c>
      <c r="D5" s="2" t="s">
        <v>13</v>
      </c>
      <c r="E5" s="2" t="s">
        <v>14</v>
      </c>
      <c r="F5" s="2">
        <v>30</v>
      </c>
    </row>
    <row r="6" spans="2:12" x14ac:dyDescent="0.35">
      <c r="B6" s="1">
        <v>104</v>
      </c>
      <c r="C6" s="2" t="s">
        <v>15</v>
      </c>
      <c r="D6" s="2" t="s">
        <v>16</v>
      </c>
      <c r="E6" s="2" t="s">
        <v>17</v>
      </c>
      <c r="F6" s="2">
        <v>40</v>
      </c>
      <c r="H6" s="4" t="s">
        <v>36</v>
      </c>
    </row>
    <row r="7" spans="2:12" x14ac:dyDescent="0.35">
      <c r="B7" s="1">
        <v>105</v>
      </c>
      <c r="C7" s="2" t="s">
        <v>18</v>
      </c>
      <c r="D7" s="2" t="s">
        <v>19</v>
      </c>
      <c r="E7" s="2" t="s">
        <v>20</v>
      </c>
      <c r="F7" s="2">
        <v>34</v>
      </c>
      <c r="H7" s="2" t="s">
        <v>16</v>
      </c>
    </row>
    <row r="8" spans="2:12" x14ac:dyDescent="0.35">
      <c r="B8" s="1">
        <v>106</v>
      </c>
      <c r="C8" s="2" t="s">
        <v>22</v>
      </c>
      <c r="D8" s="2" t="s">
        <v>23</v>
      </c>
      <c r="E8" s="2" t="s">
        <v>24</v>
      </c>
      <c r="F8" s="2">
        <v>54</v>
      </c>
    </row>
    <row r="9" spans="2:12" x14ac:dyDescent="0.35">
      <c r="B9" s="1">
        <v>107</v>
      </c>
      <c r="C9" s="2" t="s">
        <v>25</v>
      </c>
      <c r="D9" s="2" t="s">
        <v>21</v>
      </c>
      <c r="E9" s="2" t="s">
        <v>26</v>
      </c>
      <c r="F9" s="2">
        <v>30</v>
      </c>
      <c r="H9" s="3" t="s">
        <v>0</v>
      </c>
      <c r="I9" s="4" t="s">
        <v>1</v>
      </c>
      <c r="J9" s="4" t="s">
        <v>36</v>
      </c>
      <c r="K9" s="4" t="s">
        <v>3</v>
      </c>
      <c r="L9" s="4" t="s">
        <v>4</v>
      </c>
    </row>
    <row r="10" spans="2:12" x14ac:dyDescent="0.35">
      <c r="B10" s="1">
        <v>108</v>
      </c>
      <c r="C10" s="2" t="s">
        <v>27</v>
      </c>
      <c r="D10" s="2" t="s">
        <v>28</v>
      </c>
      <c r="E10" s="2" t="s">
        <v>29</v>
      </c>
      <c r="F10" s="2">
        <v>10</v>
      </c>
      <c r="H10" s="1" cm="1">
        <f t="array" ref="H10:L10">INDEX(B2:F12,MATCH(H7,D2:D12,0),)</f>
        <v>104</v>
      </c>
      <c r="I10" s="2" t="str">
        <v>Laptop Stand</v>
      </c>
      <c r="J10" s="2" t="str">
        <v>AP0104</v>
      </c>
      <c r="K10" s="2" t="str">
        <v>Sethi</v>
      </c>
      <c r="L10" s="2">
        <v>40</v>
      </c>
    </row>
    <row r="11" spans="2:12" x14ac:dyDescent="0.35">
      <c r="B11" s="1">
        <v>109</v>
      </c>
      <c r="C11" s="2" t="s">
        <v>30</v>
      </c>
      <c r="D11" s="2" t="s">
        <v>31</v>
      </c>
      <c r="E11" s="2" t="s">
        <v>32</v>
      </c>
      <c r="F11" s="2">
        <v>20</v>
      </c>
    </row>
    <row r="12" spans="2:12" x14ac:dyDescent="0.35">
      <c r="B12" s="1">
        <v>110</v>
      </c>
      <c r="C12" s="2" t="s">
        <v>33</v>
      </c>
      <c r="D12" s="2" t="s">
        <v>34</v>
      </c>
      <c r="E12" s="2" t="s">
        <v>35</v>
      </c>
      <c r="F12" s="2">
        <v>25</v>
      </c>
      <c r="H12" s="4" t="s">
        <v>36</v>
      </c>
      <c r="I12" s="3" t="s">
        <v>0</v>
      </c>
    </row>
    <row r="13" spans="2:12" x14ac:dyDescent="0.35">
      <c r="H13" s="2" t="s">
        <v>16</v>
      </c>
      <c r="I13">
        <f>INDEX(B2:F12,MATCH(H13,D2:D12,0),1)</f>
        <v>104</v>
      </c>
    </row>
  </sheetData>
  <dataValidations disablePrompts="1" count="1">
    <dataValidation type="list" allowBlank="1" showInputMessage="1" showErrorMessage="1" sqref="I2" xr:uid="{D2FA9DA1-DF77-4E7D-B20F-94153DC01298}">
      <formula1>$B$2:$F$2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32DF-E6B4-4CA2-80AC-8D47593B33C0}">
  <dimension ref="B2:F12"/>
  <sheetViews>
    <sheetView workbookViewId="0">
      <selection activeCell="I6" sqref="I6"/>
    </sheetView>
  </sheetViews>
  <sheetFormatPr defaultRowHeight="18" x14ac:dyDescent="0.35"/>
  <sheetData>
    <row r="2" spans="2:6" x14ac:dyDescent="0.35">
      <c r="B2" s="3" t="s">
        <v>0</v>
      </c>
      <c r="C2" s="4" t="s">
        <v>1</v>
      </c>
      <c r="D2" s="4" t="s">
        <v>36</v>
      </c>
      <c r="E2" s="4" t="s">
        <v>3</v>
      </c>
      <c r="F2" s="4" t="s">
        <v>4</v>
      </c>
    </row>
    <row r="3" spans="2:6" x14ac:dyDescent="0.35">
      <c r="B3" s="1">
        <v>101</v>
      </c>
      <c r="C3" s="2" t="s">
        <v>6</v>
      </c>
      <c r="D3" s="2" t="s">
        <v>7</v>
      </c>
      <c r="E3" s="2" t="s">
        <v>8</v>
      </c>
      <c r="F3" s="2">
        <v>23</v>
      </c>
    </row>
    <row r="4" spans="2:6" x14ac:dyDescent="0.35">
      <c r="B4" s="1">
        <v>102</v>
      </c>
      <c r="C4" s="2" t="s">
        <v>9</v>
      </c>
      <c r="D4" s="2" t="s">
        <v>10</v>
      </c>
      <c r="E4" s="2" t="s">
        <v>11</v>
      </c>
      <c r="F4" s="2">
        <v>20</v>
      </c>
    </row>
    <row r="5" spans="2:6" x14ac:dyDescent="0.35">
      <c r="B5" s="1">
        <v>103</v>
      </c>
      <c r="C5" s="2" t="s">
        <v>12</v>
      </c>
      <c r="D5" s="2" t="s">
        <v>13</v>
      </c>
      <c r="E5" s="2" t="s">
        <v>14</v>
      </c>
      <c r="F5" s="2">
        <v>30</v>
      </c>
    </row>
    <row r="6" spans="2:6" x14ac:dyDescent="0.35">
      <c r="B6" s="1">
        <v>104</v>
      </c>
      <c r="C6" s="2" t="s">
        <v>15</v>
      </c>
      <c r="D6" s="2" t="s">
        <v>16</v>
      </c>
      <c r="E6" s="2" t="s">
        <v>17</v>
      </c>
      <c r="F6" s="2">
        <v>40</v>
      </c>
    </row>
    <row r="7" spans="2:6" x14ac:dyDescent="0.35">
      <c r="B7" s="1">
        <v>105</v>
      </c>
      <c r="C7" s="2" t="s">
        <v>18</v>
      </c>
      <c r="D7" s="2" t="s">
        <v>19</v>
      </c>
      <c r="E7" s="2" t="s">
        <v>20</v>
      </c>
      <c r="F7" s="2">
        <v>34</v>
      </c>
    </row>
    <row r="8" spans="2:6" x14ac:dyDescent="0.35">
      <c r="B8" s="1">
        <v>106</v>
      </c>
      <c r="C8" s="2" t="s">
        <v>22</v>
      </c>
      <c r="D8" s="2" t="s">
        <v>23</v>
      </c>
      <c r="E8" s="2" t="s">
        <v>24</v>
      </c>
      <c r="F8" s="2">
        <v>54</v>
      </c>
    </row>
    <row r="9" spans="2:6" x14ac:dyDescent="0.35">
      <c r="B9" s="1">
        <v>107</v>
      </c>
      <c r="C9" s="2" t="s">
        <v>25</v>
      </c>
      <c r="D9" s="2" t="s">
        <v>21</v>
      </c>
      <c r="E9" s="2" t="s">
        <v>26</v>
      </c>
      <c r="F9" s="2">
        <v>30</v>
      </c>
    </row>
    <row r="10" spans="2:6" x14ac:dyDescent="0.35">
      <c r="B10" s="1">
        <v>108</v>
      </c>
      <c r="C10" s="2" t="s">
        <v>27</v>
      </c>
      <c r="D10" s="2" t="s">
        <v>28</v>
      </c>
      <c r="E10" s="2" t="s">
        <v>29</v>
      </c>
      <c r="F10" s="2">
        <v>10</v>
      </c>
    </row>
    <row r="11" spans="2:6" x14ac:dyDescent="0.35">
      <c r="B11" s="1">
        <v>109</v>
      </c>
      <c r="C11" s="2" t="s">
        <v>30</v>
      </c>
      <c r="D11" s="2" t="s">
        <v>31</v>
      </c>
      <c r="E11" s="2" t="s">
        <v>32</v>
      </c>
      <c r="F11" s="2">
        <v>20</v>
      </c>
    </row>
    <row r="12" spans="2:6" x14ac:dyDescent="0.35">
      <c r="B12" s="1">
        <v>110</v>
      </c>
      <c r="C12" s="2" t="s">
        <v>33</v>
      </c>
      <c r="D12" s="2" t="s">
        <v>34</v>
      </c>
      <c r="E12" s="2" t="s">
        <v>35</v>
      </c>
      <c r="F12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</dc:creator>
  <cp:keywords/>
  <dc:description/>
  <cp:lastModifiedBy>sojib biswas</cp:lastModifiedBy>
  <cp:revision/>
  <dcterms:created xsi:type="dcterms:W3CDTF">2023-08-04T05:27:23Z</dcterms:created>
  <dcterms:modified xsi:type="dcterms:W3CDTF">2026-02-11T09:13:05Z</dcterms:modified>
  <cp:category/>
  <cp:contentStatus/>
</cp:coreProperties>
</file>